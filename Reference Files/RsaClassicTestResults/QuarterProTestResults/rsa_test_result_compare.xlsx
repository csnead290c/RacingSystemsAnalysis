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cing Systems Analysis\RSA\Reference Files\RsaClassicTestResults\QuarterProTestResults\"/>
    </mc:Choice>
  </mc:AlternateContent>
  <xr:revisionPtr revIDLastSave="0" documentId="8_{51D1E4C1-0B63-47B5-8F4D-2D3EF27EA77F}" xr6:coauthVersionLast="47" xr6:coauthVersionMax="47" xr10:uidLastSave="{00000000-0000-0000-0000-000000000000}"/>
  <bookViews>
    <workbookView xWindow="-108" yWindow="-108" windowWidth="23256" windowHeight="13896" xr2:uid="{CDF95FBD-8150-4CEB-AF88-2833B6CFC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1" l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15" i="1"/>
  <c r="K16" i="1"/>
  <c r="K17" i="1"/>
  <c r="K18" i="1"/>
  <c r="K19" i="1"/>
  <c r="K20" i="1"/>
  <c r="K21" i="1"/>
  <c r="K6" i="1"/>
  <c r="K7" i="1"/>
  <c r="K8" i="1"/>
  <c r="K9" i="1"/>
  <c r="K10" i="1"/>
  <c r="K11" i="1"/>
  <c r="K5" i="1"/>
  <c r="E6" i="1"/>
  <c r="E7" i="1"/>
  <c r="E8" i="1"/>
  <c r="E9" i="1"/>
  <c r="E10" i="1"/>
  <c r="E11" i="1"/>
  <c r="E15" i="1"/>
  <c r="E16" i="1"/>
  <c r="E17" i="1"/>
  <c r="E18" i="1"/>
  <c r="E19" i="1"/>
  <c r="E20" i="1"/>
  <c r="E21" i="1"/>
  <c r="E25" i="1"/>
  <c r="E26" i="1"/>
  <c r="E27" i="1"/>
  <c r="E28" i="1"/>
  <c r="E29" i="1"/>
  <c r="E30" i="1"/>
  <c r="E31" i="1"/>
  <c r="E35" i="1"/>
  <c r="E36" i="1"/>
  <c r="E37" i="1"/>
  <c r="E38" i="1"/>
  <c r="E39" i="1"/>
  <c r="E40" i="1"/>
  <c r="E41" i="1"/>
  <c r="E45" i="1"/>
  <c r="E46" i="1"/>
  <c r="E47" i="1"/>
  <c r="E48" i="1"/>
  <c r="E49" i="1"/>
  <c r="E50" i="1"/>
  <c r="E51" i="1"/>
  <c r="E52" i="1"/>
  <c r="E53" i="1"/>
  <c r="E55" i="1"/>
  <c r="E56" i="1"/>
  <c r="E57" i="1"/>
  <c r="E58" i="1"/>
  <c r="E59" i="1"/>
  <c r="E60" i="1"/>
  <c r="E61" i="1"/>
  <c r="E5" i="1"/>
  <c r="J21" i="1"/>
  <c r="J20" i="1"/>
  <c r="J19" i="1"/>
  <c r="J18" i="1"/>
  <c r="J17" i="1"/>
  <c r="J16" i="1"/>
  <c r="J15" i="1"/>
  <c r="J11" i="1"/>
  <c r="J10" i="1"/>
  <c r="J9" i="1"/>
  <c r="J8" i="1"/>
  <c r="J7" i="1"/>
  <c r="J6" i="1"/>
  <c r="J5" i="1"/>
  <c r="D61" i="1"/>
  <c r="D60" i="1"/>
  <c r="D59" i="1"/>
  <c r="D58" i="1"/>
  <c r="D57" i="1"/>
  <c r="D56" i="1"/>
  <c r="D55" i="1"/>
  <c r="D51" i="1"/>
  <c r="D50" i="1"/>
  <c r="D49" i="1"/>
  <c r="D48" i="1"/>
  <c r="D47" i="1"/>
  <c r="D46" i="1"/>
  <c r="D45" i="1"/>
  <c r="D41" i="1"/>
  <c r="D40" i="1"/>
  <c r="D39" i="1"/>
  <c r="D38" i="1"/>
  <c r="D37" i="1"/>
  <c r="D36" i="1"/>
  <c r="D35" i="1"/>
  <c r="D31" i="1"/>
  <c r="D30" i="1"/>
  <c r="D29" i="1"/>
  <c r="D28" i="1"/>
  <c r="D27" i="1"/>
  <c r="D26" i="1"/>
  <c r="D25" i="1"/>
  <c r="D21" i="1"/>
  <c r="D20" i="1"/>
  <c r="D19" i="1"/>
  <c r="D18" i="1"/>
  <c r="D17" i="1"/>
  <c r="D16" i="1"/>
  <c r="D15" i="1"/>
  <c r="D6" i="1"/>
  <c r="D7" i="1"/>
  <c r="D8" i="1"/>
  <c r="D9" i="1"/>
  <c r="D10" i="1"/>
  <c r="D11" i="1"/>
  <c r="D5" i="1"/>
  <c r="D2" i="1" l="1"/>
  <c r="J2" i="1"/>
</calcChain>
</file>

<file path=xl/sharedStrings.xml><?xml version="1.0" encoding="utf-8"?>
<sst xmlns="http://schemas.openxmlformats.org/spreadsheetml/2006/main" count="72" uniqueCount="16">
  <si>
    <t>test compare</t>
  </si>
  <si>
    <t>quarterpro</t>
  </si>
  <si>
    <t>pro stock</t>
  </si>
  <si>
    <t>VB6</t>
  </si>
  <si>
    <t>RSA</t>
  </si>
  <si>
    <t>660 mph</t>
  </si>
  <si>
    <t>1320 mph</t>
  </si>
  <si>
    <t>Error</t>
  </si>
  <si>
    <t>funny car</t>
  </si>
  <si>
    <t>motorcycle</t>
  </si>
  <si>
    <t>super comp</t>
  </si>
  <si>
    <t>super gas</t>
  </si>
  <si>
    <t>tad</t>
  </si>
  <si>
    <t>quarter jr</t>
  </si>
  <si>
    <t>et racer</t>
  </si>
  <si>
    <t>max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</si>
</sst>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732C-229E-4950-BA30-DF524BEA6A31}">
  <dimension ref="A1:K61"/>
  <sheetViews>
    <sheetView tabSelected="1" workbookViewId="0">
      <selection activeCell="A4" sqref="A4:E11"/>
    </sheetView>
  </sheetViews>
  <sheetFormatPr defaultRowHeight="14.4" x14ac:dyDescent="0.3"/>
  <sheetData>
    <row r="1" spans="1:11" x14ac:dyDescent="0.3">
      <c r="A1" t="s">
        <v>0</v>
      </c>
      <c r="G1" t="s">
        <v>0</v>
      </c>
    </row>
    <row r="2" spans="1:11" x14ac:dyDescent="0.3">
      <c r="A2" t="s">
        <v>1</v>
      </c>
      <c r="C2" t="s">
        <v>15</v>
      </c>
      <c r="D2" s="1">
        <f>MAX(MAX(D5:D74),ABS(MIN(D5:D74)))</f>
        <v>1.1363636363636374E-2</v>
      </c>
      <c r="G2" t="s">
        <v>13</v>
      </c>
      <c r="I2" t="s">
        <v>15</v>
      </c>
      <c r="J2" s="1">
        <f>MAX(MAX(J5:J74),ABS(MIN(J5:J74)))</f>
        <v>3.7220843672456224E-3</v>
      </c>
    </row>
    <row r="3" spans="1:11" x14ac:dyDescent="0.3">
      <c r="A3" t="s">
        <v>2</v>
      </c>
      <c r="G3" t="s">
        <v>14</v>
      </c>
    </row>
    <row r="4" spans="1:11" x14ac:dyDescent="0.3">
      <c r="A4" s="2"/>
      <c r="B4" s="2" t="s">
        <v>3</v>
      </c>
      <c r="C4" s="2" t="s">
        <v>4</v>
      </c>
      <c r="D4" s="2" t="s">
        <v>7</v>
      </c>
      <c r="G4" s="2"/>
      <c r="H4" s="2" t="s">
        <v>3</v>
      </c>
      <c r="I4" s="2" t="s">
        <v>4</v>
      </c>
      <c r="J4" s="2" t="s">
        <v>7</v>
      </c>
    </row>
    <row r="5" spans="1:11" x14ac:dyDescent="0.3">
      <c r="A5" s="2">
        <v>60</v>
      </c>
      <c r="B5" s="2">
        <v>1.01</v>
      </c>
      <c r="C5" s="2">
        <v>1.01</v>
      </c>
      <c r="D5" s="3">
        <f>(B5-C5)/B5</f>
        <v>0</v>
      </c>
      <c r="E5">
        <f>ABS(B5-C5)</f>
        <v>0</v>
      </c>
      <c r="G5" s="2">
        <v>60</v>
      </c>
      <c r="H5" s="2">
        <v>1.88</v>
      </c>
      <c r="I5" s="2">
        <v>1.88</v>
      </c>
      <c r="J5" s="3">
        <f>(H5-I5)/H5</f>
        <v>0</v>
      </c>
      <c r="K5">
        <f>ABS(H5-I5)</f>
        <v>0</v>
      </c>
    </row>
    <row r="6" spans="1:11" x14ac:dyDescent="0.3">
      <c r="A6" s="2">
        <v>330</v>
      </c>
      <c r="B6" s="2">
        <v>2.84</v>
      </c>
      <c r="C6" s="2">
        <v>2.84</v>
      </c>
      <c r="D6" s="3">
        <f t="shared" ref="D6:D11" si="0">(B6-C6)/B6</f>
        <v>0</v>
      </c>
      <c r="E6">
        <f t="shared" ref="E6:E61" si="1">ABS(B6-C6)</f>
        <v>0</v>
      </c>
      <c r="G6" s="2">
        <v>330</v>
      </c>
      <c r="H6" s="2">
        <v>5.55</v>
      </c>
      <c r="I6" s="2">
        <v>5.54</v>
      </c>
      <c r="J6" s="3">
        <f t="shared" ref="J6:J11" si="2">(H6-I6)/H6</f>
        <v>1.8018018018017634E-3</v>
      </c>
      <c r="K6">
        <f t="shared" ref="K6:K21" si="3">ABS(H6-I6)</f>
        <v>9.9999999999997868E-3</v>
      </c>
    </row>
    <row r="7" spans="1:11" x14ac:dyDescent="0.3">
      <c r="A7" s="2">
        <v>660</v>
      </c>
      <c r="B7" s="2">
        <v>4.37</v>
      </c>
      <c r="C7" s="2">
        <v>4.37</v>
      </c>
      <c r="D7" s="3">
        <f t="shared" si="0"/>
        <v>0</v>
      </c>
      <c r="E7">
        <f t="shared" si="1"/>
        <v>0</v>
      </c>
      <c r="G7" s="2">
        <v>660</v>
      </c>
      <c r="H7" s="2">
        <v>8.6</v>
      </c>
      <c r="I7" s="2">
        <v>8.59</v>
      </c>
      <c r="J7" s="3">
        <f t="shared" si="2"/>
        <v>1.1627906976743939E-3</v>
      </c>
      <c r="K7">
        <f t="shared" si="3"/>
        <v>9.9999999999997868E-3</v>
      </c>
    </row>
    <row r="8" spans="1:11" x14ac:dyDescent="0.3">
      <c r="A8" s="2" t="s">
        <v>5</v>
      </c>
      <c r="B8" s="2">
        <v>160.9</v>
      </c>
      <c r="C8" s="2">
        <v>160.9</v>
      </c>
      <c r="D8" s="3">
        <f t="shared" si="0"/>
        <v>0</v>
      </c>
      <c r="E8">
        <f t="shared" si="1"/>
        <v>0</v>
      </c>
      <c r="G8" s="2" t="s">
        <v>5</v>
      </c>
      <c r="H8" s="2">
        <v>80.599999999999994</v>
      </c>
      <c r="I8" s="2">
        <v>80.3</v>
      </c>
      <c r="J8" s="3">
        <f t="shared" si="2"/>
        <v>3.7220843672456224E-3</v>
      </c>
      <c r="K8">
        <f t="shared" si="3"/>
        <v>0.29999999999999716</v>
      </c>
    </row>
    <row r="9" spans="1:11" x14ac:dyDescent="0.3">
      <c r="A9" s="2">
        <v>1000</v>
      </c>
      <c r="B9" s="2">
        <v>5.68</v>
      </c>
      <c r="C9" s="2">
        <v>5.69</v>
      </c>
      <c r="D9" s="3">
        <f t="shared" si="0"/>
        <v>-1.760563380281809E-3</v>
      </c>
      <c r="E9">
        <f t="shared" si="1"/>
        <v>1.0000000000000675E-2</v>
      </c>
      <c r="G9" s="2">
        <v>1000</v>
      </c>
      <c r="H9" s="2">
        <v>11.26</v>
      </c>
      <c r="I9" s="2">
        <v>11.24</v>
      </c>
      <c r="J9" s="3">
        <f t="shared" si="2"/>
        <v>1.7761989342806016E-3</v>
      </c>
      <c r="K9">
        <f t="shared" si="3"/>
        <v>1.9999999999999574E-2</v>
      </c>
    </row>
    <row r="10" spans="1:11" x14ac:dyDescent="0.3">
      <c r="A10" s="2">
        <v>1320</v>
      </c>
      <c r="B10" s="2">
        <v>6.8</v>
      </c>
      <c r="C10" s="2">
        <v>6.8</v>
      </c>
      <c r="D10" s="3">
        <f t="shared" si="0"/>
        <v>0</v>
      </c>
      <c r="E10">
        <f t="shared" si="1"/>
        <v>0</v>
      </c>
      <c r="G10" s="2">
        <v>1320</v>
      </c>
      <c r="H10" s="2">
        <v>13.5</v>
      </c>
      <c r="I10" s="2">
        <v>13.48</v>
      </c>
      <c r="J10" s="3">
        <f t="shared" si="2"/>
        <v>1.48148148148145E-3</v>
      </c>
      <c r="K10">
        <f t="shared" si="3"/>
        <v>1.9999999999999574E-2</v>
      </c>
    </row>
    <row r="11" spans="1:11" x14ac:dyDescent="0.3">
      <c r="A11" s="2" t="s">
        <v>6</v>
      </c>
      <c r="B11" s="2">
        <v>202.3</v>
      </c>
      <c r="C11" s="2">
        <v>202.2</v>
      </c>
      <c r="D11" s="3">
        <f t="shared" si="0"/>
        <v>4.9431537320821916E-4</v>
      </c>
      <c r="E11">
        <f t="shared" si="1"/>
        <v>0.10000000000002274</v>
      </c>
      <c r="G11" s="2" t="s">
        <v>6</v>
      </c>
      <c r="H11" s="2">
        <v>100.8</v>
      </c>
      <c r="I11" s="2">
        <v>100.8</v>
      </c>
      <c r="J11" s="3">
        <f t="shared" si="2"/>
        <v>0</v>
      </c>
      <c r="K11">
        <f t="shared" si="3"/>
        <v>0</v>
      </c>
    </row>
    <row r="13" spans="1:11" x14ac:dyDescent="0.3">
      <c r="A13" t="s">
        <v>8</v>
      </c>
      <c r="G13" t="s">
        <v>2</v>
      </c>
    </row>
    <row r="14" spans="1:11" x14ac:dyDescent="0.3">
      <c r="A14" s="2"/>
      <c r="B14" s="2" t="s">
        <v>3</v>
      </c>
      <c r="C14" s="2" t="s">
        <v>4</v>
      </c>
      <c r="D14" s="2" t="s">
        <v>7</v>
      </c>
      <c r="G14" s="2"/>
      <c r="H14" s="2" t="s">
        <v>3</v>
      </c>
      <c r="I14" s="2" t="s">
        <v>4</v>
      </c>
      <c r="J14" s="2" t="s">
        <v>7</v>
      </c>
    </row>
    <row r="15" spans="1:11" x14ac:dyDescent="0.3">
      <c r="A15" s="2">
        <v>60</v>
      </c>
      <c r="B15" s="2">
        <v>0.88</v>
      </c>
      <c r="C15" s="2">
        <v>0.88</v>
      </c>
      <c r="D15" s="3">
        <f>(B15-C15)/B15</f>
        <v>0</v>
      </c>
      <c r="E15">
        <f t="shared" si="1"/>
        <v>0</v>
      </c>
      <c r="G15" s="2">
        <v>60</v>
      </c>
      <c r="H15" s="2">
        <v>0.99</v>
      </c>
      <c r="I15" s="2">
        <v>0.99</v>
      </c>
      <c r="J15" s="3">
        <f>(H15-I15)/H15</f>
        <v>0</v>
      </c>
      <c r="K15">
        <f t="shared" si="3"/>
        <v>0</v>
      </c>
    </row>
    <row r="16" spans="1:11" x14ac:dyDescent="0.3">
      <c r="A16" s="2">
        <v>330</v>
      </c>
      <c r="B16" s="2">
        <v>2.3199999999999998</v>
      </c>
      <c r="C16" s="2">
        <v>2.3199999999999998</v>
      </c>
      <c r="D16" s="3">
        <f t="shared" ref="D16:D21" si="4">(B16-C16)/B16</f>
        <v>0</v>
      </c>
      <c r="E16">
        <f t="shared" si="1"/>
        <v>0</v>
      </c>
      <c r="G16" s="2">
        <v>330</v>
      </c>
      <c r="H16" s="2">
        <v>2.83</v>
      </c>
      <c r="I16" s="2">
        <v>2.83</v>
      </c>
      <c r="J16" s="3">
        <f t="shared" ref="J16:J21" si="5">(H16-I16)/H16</f>
        <v>0</v>
      </c>
      <c r="K16">
        <f t="shared" si="3"/>
        <v>0</v>
      </c>
    </row>
    <row r="17" spans="1:11" x14ac:dyDescent="0.3">
      <c r="A17" s="2">
        <v>660</v>
      </c>
      <c r="B17" s="2">
        <v>3.37</v>
      </c>
      <c r="C17" s="2">
        <v>3.37</v>
      </c>
      <c r="D17" s="3">
        <f t="shared" si="4"/>
        <v>0</v>
      </c>
      <c r="E17">
        <f t="shared" si="1"/>
        <v>0</v>
      </c>
      <c r="G17" s="2">
        <v>660</v>
      </c>
      <c r="H17" s="2">
        <v>4.38</v>
      </c>
      <c r="I17" s="2">
        <v>4.38</v>
      </c>
      <c r="J17" s="3">
        <f t="shared" si="5"/>
        <v>0</v>
      </c>
      <c r="K17">
        <f t="shared" si="3"/>
        <v>0</v>
      </c>
    </row>
    <row r="18" spans="1:11" x14ac:dyDescent="0.3">
      <c r="A18" s="2" t="s">
        <v>5</v>
      </c>
      <c r="B18" s="2">
        <v>243.5</v>
      </c>
      <c r="C18" s="2">
        <v>243.5</v>
      </c>
      <c r="D18" s="3">
        <f t="shared" si="4"/>
        <v>0</v>
      </c>
      <c r="E18">
        <f t="shared" si="1"/>
        <v>0</v>
      </c>
      <c r="G18" s="2" t="s">
        <v>5</v>
      </c>
      <c r="H18" s="2">
        <v>159.1</v>
      </c>
      <c r="I18" s="2">
        <v>158.69999999999999</v>
      </c>
      <c r="J18" s="3">
        <f t="shared" si="5"/>
        <v>2.5141420490258056E-3</v>
      </c>
      <c r="K18">
        <f t="shared" si="3"/>
        <v>0.40000000000000568</v>
      </c>
    </row>
    <row r="19" spans="1:11" x14ac:dyDescent="0.3">
      <c r="A19" s="2">
        <v>1000</v>
      </c>
      <c r="B19" s="2">
        <v>4.2300000000000004</v>
      </c>
      <c r="C19" s="2">
        <v>4.2300000000000004</v>
      </c>
      <c r="D19" s="3">
        <f t="shared" si="4"/>
        <v>0</v>
      </c>
      <c r="E19">
        <f t="shared" si="1"/>
        <v>0</v>
      </c>
      <c r="G19" s="2">
        <v>1000</v>
      </c>
      <c r="H19" s="2">
        <v>5.71</v>
      </c>
      <c r="I19" s="2">
        <v>5.72</v>
      </c>
      <c r="J19" s="3">
        <f t="shared" si="5"/>
        <v>-1.7513134851137981E-3</v>
      </c>
      <c r="K19">
        <f t="shared" si="3"/>
        <v>9.9999999999997868E-3</v>
      </c>
    </row>
    <row r="20" spans="1:11" x14ac:dyDescent="0.3">
      <c r="A20" s="2">
        <v>1320</v>
      </c>
      <c r="B20" s="2">
        <v>4.9800000000000004</v>
      </c>
      <c r="C20" s="2">
        <v>4.9800000000000004</v>
      </c>
      <c r="D20" s="3">
        <f t="shared" si="4"/>
        <v>0</v>
      </c>
      <c r="E20">
        <f t="shared" si="1"/>
        <v>0</v>
      </c>
      <c r="G20" s="2">
        <v>1320</v>
      </c>
      <c r="H20" s="2">
        <v>6.84</v>
      </c>
      <c r="I20" s="2">
        <v>6.85</v>
      </c>
      <c r="J20" s="3">
        <f t="shared" si="5"/>
        <v>-1.4619883040935362E-3</v>
      </c>
      <c r="K20">
        <f t="shared" si="3"/>
        <v>9.9999999999997868E-3</v>
      </c>
    </row>
    <row r="21" spans="1:11" x14ac:dyDescent="0.3">
      <c r="A21" s="2" t="s">
        <v>6</v>
      </c>
      <c r="B21" s="2">
        <v>297</v>
      </c>
      <c r="C21" s="2">
        <v>297.3</v>
      </c>
      <c r="D21" s="3">
        <f t="shared" si="4"/>
        <v>-1.0101010101010485E-3</v>
      </c>
      <c r="E21">
        <f t="shared" si="1"/>
        <v>0.30000000000001137</v>
      </c>
      <c r="G21" s="2" t="s">
        <v>6</v>
      </c>
      <c r="H21" s="2">
        <v>199.4</v>
      </c>
      <c r="I21" s="2">
        <v>199.2</v>
      </c>
      <c r="J21" s="3">
        <f t="shared" si="5"/>
        <v>1.0030090270813292E-3</v>
      </c>
      <c r="K21">
        <f t="shared" si="3"/>
        <v>0.20000000000001705</v>
      </c>
    </row>
    <row r="23" spans="1:11" x14ac:dyDescent="0.3">
      <c r="A23" t="s">
        <v>9</v>
      </c>
      <c r="G23" t="s">
        <v>9</v>
      </c>
    </row>
    <row r="24" spans="1:11" x14ac:dyDescent="0.3">
      <c r="A24" s="2"/>
      <c r="B24" s="2" t="s">
        <v>3</v>
      </c>
      <c r="C24" s="2" t="s">
        <v>4</v>
      </c>
      <c r="D24" s="2" t="s">
        <v>7</v>
      </c>
      <c r="G24" s="2"/>
      <c r="H24" s="2" t="s">
        <v>3</v>
      </c>
      <c r="I24" s="2" t="s">
        <v>4</v>
      </c>
      <c r="J24" s="2" t="s">
        <v>7</v>
      </c>
    </row>
    <row r="25" spans="1:11" x14ac:dyDescent="0.3">
      <c r="A25" s="2">
        <v>60</v>
      </c>
      <c r="B25" s="2">
        <v>1.77</v>
      </c>
      <c r="C25" s="2">
        <v>1.77</v>
      </c>
      <c r="D25" s="3">
        <f>(B25-C25)/B25</f>
        <v>0</v>
      </c>
      <c r="E25">
        <f t="shared" si="1"/>
        <v>0</v>
      </c>
      <c r="G25" s="2">
        <v>60</v>
      </c>
      <c r="H25" s="2">
        <v>1.61</v>
      </c>
      <c r="I25" s="2">
        <v>1.61</v>
      </c>
      <c r="J25" s="3">
        <f>(H25-I25)/H25</f>
        <v>0</v>
      </c>
      <c r="K25">
        <f t="shared" ref="K25:K31" si="6">ABS(H25-I25)</f>
        <v>0</v>
      </c>
    </row>
    <row r="26" spans="1:11" x14ac:dyDescent="0.3">
      <c r="A26" s="2">
        <v>330</v>
      </c>
      <c r="B26" s="2">
        <v>4.9400000000000004</v>
      </c>
      <c r="C26" s="2">
        <v>4.9400000000000004</v>
      </c>
      <c r="D26" s="3">
        <f t="shared" ref="D26:D31" si="7">(B26-C26)/B26</f>
        <v>0</v>
      </c>
      <c r="E26">
        <f t="shared" si="1"/>
        <v>0</v>
      </c>
      <c r="G26" s="2">
        <v>330</v>
      </c>
      <c r="H26" s="2">
        <v>4.7300000000000004</v>
      </c>
      <c r="I26" s="2">
        <v>4.7300000000000004</v>
      </c>
      <c r="J26" s="3">
        <f t="shared" ref="J26:J31" si="8">(H26-I26)/H26</f>
        <v>0</v>
      </c>
      <c r="K26">
        <f t="shared" si="6"/>
        <v>0</v>
      </c>
    </row>
    <row r="27" spans="1:11" x14ac:dyDescent="0.3">
      <c r="A27" s="2">
        <v>660</v>
      </c>
      <c r="B27" s="2">
        <v>7.63</v>
      </c>
      <c r="C27" s="2">
        <v>7.63</v>
      </c>
      <c r="D27" s="3">
        <f t="shared" si="7"/>
        <v>0</v>
      </c>
      <c r="E27">
        <f t="shared" si="1"/>
        <v>0</v>
      </c>
      <c r="G27" s="2">
        <v>660</v>
      </c>
      <c r="H27" s="2">
        <v>7.45</v>
      </c>
      <c r="I27" s="2">
        <v>7.45</v>
      </c>
      <c r="J27" s="3">
        <f t="shared" si="8"/>
        <v>0</v>
      </c>
      <c r="K27">
        <f t="shared" si="6"/>
        <v>0</v>
      </c>
    </row>
    <row r="28" spans="1:11" x14ac:dyDescent="0.3">
      <c r="A28" s="2" t="s">
        <v>5</v>
      </c>
      <c r="B28" s="2">
        <v>91.1</v>
      </c>
      <c r="C28" s="2">
        <v>91.1</v>
      </c>
      <c r="D28" s="3">
        <f t="shared" si="7"/>
        <v>0</v>
      </c>
      <c r="E28">
        <f t="shared" si="1"/>
        <v>0</v>
      </c>
      <c r="G28" s="2" t="s">
        <v>5</v>
      </c>
      <c r="H28" s="2">
        <v>89.4</v>
      </c>
      <c r="I28" s="2">
        <v>89.4</v>
      </c>
      <c r="J28" s="3">
        <f t="shared" si="8"/>
        <v>0</v>
      </c>
      <c r="K28">
        <f t="shared" si="6"/>
        <v>0</v>
      </c>
    </row>
    <row r="29" spans="1:11" x14ac:dyDescent="0.3">
      <c r="A29" s="2">
        <v>1000</v>
      </c>
      <c r="B29" s="2">
        <v>9.9700000000000006</v>
      </c>
      <c r="C29" s="2">
        <v>9.9700000000000006</v>
      </c>
      <c r="D29" s="3">
        <f t="shared" si="7"/>
        <v>0</v>
      </c>
      <c r="E29">
        <f t="shared" si="1"/>
        <v>0</v>
      </c>
      <c r="G29" s="2">
        <v>1000</v>
      </c>
      <c r="H29" s="2">
        <v>9.8699999999999992</v>
      </c>
      <c r="I29" s="2">
        <v>9.8699999999999992</v>
      </c>
      <c r="J29" s="3">
        <f t="shared" si="8"/>
        <v>0</v>
      </c>
      <c r="K29">
        <f t="shared" si="6"/>
        <v>0</v>
      </c>
    </row>
    <row r="30" spans="1:11" x14ac:dyDescent="0.3">
      <c r="A30" s="2">
        <v>1320</v>
      </c>
      <c r="B30" s="2">
        <v>11.99</v>
      </c>
      <c r="C30" s="2">
        <v>11.99</v>
      </c>
      <c r="D30" s="3">
        <f t="shared" si="7"/>
        <v>0</v>
      </c>
      <c r="E30">
        <f t="shared" si="1"/>
        <v>0</v>
      </c>
      <c r="G30" s="2">
        <v>1320</v>
      </c>
      <c r="H30" s="2">
        <v>12</v>
      </c>
      <c r="I30" s="2">
        <v>12</v>
      </c>
      <c r="J30" s="3">
        <f t="shared" si="8"/>
        <v>0</v>
      </c>
      <c r="K30">
        <f t="shared" si="6"/>
        <v>0</v>
      </c>
    </row>
    <row r="31" spans="1:11" x14ac:dyDescent="0.3">
      <c r="A31" s="2" t="s">
        <v>6</v>
      </c>
      <c r="B31" s="2">
        <v>111.3</v>
      </c>
      <c r="C31" s="2">
        <v>111.3</v>
      </c>
      <c r="D31" s="3">
        <f t="shared" si="7"/>
        <v>0</v>
      </c>
      <c r="E31">
        <f t="shared" si="1"/>
        <v>0</v>
      </c>
      <c r="G31" s="2" t="s">
        <v>6</v>
      </c>
      <c r="H31" s="2">
        <v>104.5</v>
      </c>
      <c r="I31" s="2">
        <v>104.5</v>
      </c>
      <c r="J31" s="3">
        <f t="shared" si="8"/>
        <v>0</v>
      </c>
      <c r="K31">
        <f t="shared" si="6"/>
        <v>0</v>
      </c>
    </row>
    <row r="33" spans="1:11" x14ac:dyDescent="0.3">
      <c r="A33" t="s">
        <v>10</v>
      </c>
      <c r="G33" t="s">
        <v>10</v>
      </c>
    </row>
    <row r="34" spans="1:11" x14ac:dyDescent="0.3">
      <c r="A34" s="2"/>
      <c r="B34" s="2" t="s">
        <v>3</v>
      </c>
      <c r="C34" s="2" t="s">
        <v>4</v>
      </c>
      <c r="D34" s="2" t="s">
        <v>7</v>
      </c>
      <c r="G34" s="2"/>
      <c r="H34" s="2" t="s">
        <v>3</v>
      </c>
      <c r="I34" s="2" t="s">
        <v>4</v>
      </c>
      <c r="J34" s="2" t="s">
        <v>7</v>
      </c>
    </row>
    <row r="35" spans="1:11" x14ac:dyDescent="0.3">
      <c r="A35" s="2">
        <v>60</v>
      </c>
      <c r="B35" s="2">
        <v>1.23</v>
      </c>
      <c r="C35" s="2">
        <v>1.23</v>
      </c>
      <c r="D35" s="3">
        <f>(B35-C35)/B35</f>
        <v>0</v>
      </c>
      <c r="E35">
        <f t="shared" si="1"/>
        <v>0</v>
      </c>
      <c r="G35" s="2">
        <v>60</v>
      </c>
      <c r="H35" s="2">
        <v>1.17</v>
      </c>
      <c r="I35" s="2">
        <v>1.17</v>
      </c>
      <c r="J35" s="3">
        <f>(H35-I35)/H35</f>
        <v>0</v>
      </c>
      <c r="K35">
        <f t="shared" ref="K35:K41" si="9">ABS(H35-I35)</f>
        <v>0</v>
      </c>
    </row>
    <row r="36" spans="1:11" x14ac:dyDescent="0.3">
      <c r="A36" s="2">
        <v>330</v>
      </c>
      <c r="B36" s="2">
        <v>3.62</v>
      </c>
      <c r="C36" s="2">
        <v>3.62</v>
      </c>
      <c r="D36" s="3">
        <f t="shared" ref="D36:D41" si="10">(B36-C36)/B36</f>
        <v>0</v>
      </c>
      <c r="E36">
        <f t="shared" si="1"/>
        <v>0</v>
      </c>
      <c r="G36" s="2">
        <v>330</v>
      </c>
      <c r="H36" s="2">
        <v>3.55</v>
      </c>
      <c r="I36" s="2">
        <v>3.54</v>
      </c>
      <c r="J36" s="3">
        <f t="shared" ref="J36:J41" si="11">(H36-I36)/H36</f>
        <v>2.8169014084506445E-3</v>
      </c>
      <c r="K36">
        <f t="shared" si="9"/>
        <v>9.9999999999997868E-3</v>
      </c>
    </row>
    <row r="37" spans="1:11" x14ac:dyDescent="0.3">
      <c r="A37" s="2">
        <v>660</v>
      </c>
      <c r="B37" s="2">
        <v>5.66</v>
      </c>
      <c r="C37" s="2">
        <v>5.66</v>
      </c>
      <c r="D37" s="3">
        <f t="shared" si="10"/>
        <v>0</v>
      </c>
      <c r="E37">
        <f t="shared" si="1"/>
        <v>0</v>
      </c>
      <c r="G37" s="2">
        <v>660</v>
      </c>
      <c r="H37" s="2">
        <v>5.59</v>
      </c>
      <c r="I37" s="2">
        <v>5.58</v>
      </c>
      <c r="J37" s="3">
        <f t="shared" si="11"/>
        <v>1.7889087656529135E-3</v>
      </c>
      <c r="K37">
        <f t="shared" si="9"/>
        <v>9.9999999999997868E-3</v>
      </c>
    </row>
    <row r="38" spans="1:11" x14ac:dyDescent="0.3">
      <c r="A38" s="2" t="s">
        <v>5</v>
      </c>
      <c r="B38" s="2">
        <v>120.4</v>
      </c>
      <c r="C38" s="2">
        <v>120.4</v>
      </c>
      <c r="D38" s="3">
        <f t="shared" si="10"/>
        <v>0</v>
      </c>
      <c r="E38">
        <f t="shared" si="1"/>
        <v>0</v>
      </c>
      <c r="G38" s="2" t="s">
        <v>5</v>
      </c>
      <c r="H38" s="2">
        <v>120</v>
      </c>
      <c r="I38" s="2">
        <v>120.2</v>
      </c>
      <c r="J38" s="3">
        <f t="shared" si="11"/>
        <v>-1.6666666666666904E-3</v>
      </c>
      <c r="K38">
        <f t="shared" si="9"/>
        <v>0.20000000000000284</v>
      </c>
    </row>
    <row r="39" spans="1:11" x14ac:dyDescent="0.3">
      <c r="A39" s="2">
        <v>1000</v>
      </c>
      <c r="B39" s="2">
        <v>7.42</v>
      </c>
      <c r="C39" s="2">
        <v>7.42</v>
      </c>
      <c r="D39" s="3">
        <f t="shared" si="10"/>
        <v>0</v>
      </c>
      <c r="E39">
        <f t="shared" si="1"/>
        <v>0</v>
      </c>
      <c r="G39" s="2">
        <v>1000</v>
      </c>
      <c r="H39" s="2">
        <v>7.37</v>
      </c>
      <c r="I39" s="2">
        <v>7.35</v>
      </c>
      <c r="J39" s="3">
        <f t="shared" si="11"/>
        <v>2.7137042062415823E-3</v>
      </c>
      <c r="K39">
        <f t="shared" si="9"/>
        <v>2.0000000000000462E-2</v>
      </c>
    </row>
    <row r="40" spans="1:11" x14ac:dyDescent="0.3">
      <c r="A40" s="2">
        <v>1320</v>
      </c>
      <c r="B40" s="2">
        <v>8.9</v>
      </c>
      <c r="C40" s="2">
        <v>8.91</v>
      </c>
      <c r="D40" s="3">
        <f t="shared" si="10"/>
        <v>-1.1235955056179536E-3</v>
      </c>
      <c r="E40">
        <f t="shared" si="1"/>
        <v>9.9999999999997868E-3</v>
      </c>
      <c r="G40" s="2">
        <v>1320</v>
      </c>
      <c r="H40" s="2">
        <v>8.9</v>
      </c>
      <c r="I40" s="2">
        <v>8.8800000000000008</v>
      </c>
      <c r="J40" s="3">
        <f t="shared" si="11"/>
        <v>2.2471910112359071E-3</v>
      </c>
      <c r="K40">
        <f t="shared" si="9"/>
        <v>1.9999999999999574E-2</v>
      </c>
    </row>
    <row r="41" spans="1:11" x14ac:dyDescent="0.3">
      <c r="A41" s="2" t="s">
        <v>6</v>
      </c>
      <c r="B41" s="2">
        <v>151.6</v>
      </c>
      <c r="C41" s="2">
        <v>151.6</v>
      </c>
      <c r="D41" s="3">
        <f t="shared" si="10"/>
        <v>0</v>
      </c>
      <c r="E41">
        <f t="shared" si="1"/>
        <v>0</v>
      </c>
      <c r="G41" s="2" t="s">
        <v>6</v>
      </c>
      <c r="H41" s="2">
        <v>146.19999999999999</v>
      </c>
      <c r="I41" s="2">
        <v>146.4</v>
      </c>
      <c r="J41" s="3">
        <f t="shared" si="11"/>
        <v>-1.3679890560876679E-3</v>
      </c>
      <c r="K41">
        <f t="shared" si="9"/>
        <v>0.20000000000001705</v>
      </c>
    </row>
    <row r="43" spans="1:11" x14ac:dyDescent="0.3">
      <c r="A43" t="s">
        <v>11</v>
      </c>
      <c r="G43" t="s">
        <v>11</v>
      </c>
    </row>
    <row r="44" spans="1:11" x14ac:dyDescent="0.3">
      <c r="A44" s="2"/>
      <c r="B44" s="2" t="s">
        <v>3</v>
      </c>
      <c r="C44" s="2" t="s">
        <v>4</v>
      </c>
      <c r="D44" s="2" t="s">
        <v>7</v>
      </c>
      <c r="G44" s="2"/>
      <c r="H44" s="2" t="s">
        <v>3</v>
      </c>
      <c r="I44" s="2" t="s">
        <v>4</v>
      </c>
      <c r="J44" s="2" t="s">
        <v>7</v>
      </c>
    </row>
    <row r="45" spans="1:11" x14ac:dyDescent="0.3">
      <c r="A45" s="2">
        <v>60</v>
      </c>
      <c r="B45" s="2">
        <v>1.35</v>
      </c>
      <c r="C45" s="2">
        <v>1.35</v>
      </c>
      <c r="D45" s="3">
        <f>(B45-C45)/B45</f>
        <v>0</v>
      </c>
      <c r="E45">
        <f t="shared" si="1"/>
        <v>0</v>
      </c>
      <c r="G45" s="2">
        <v>60</v>
      </c>
      <c r="H45" s="2">
        <v>1.31</v>
      </c>
      <c r="I45" s="2">
        <v>1.31</v>
      </c>
      <c r="J45" s="3">
        <f>(H45-I45)/H45</f>
        <v>0</v>
      </c>
      <c r="K45">
        <f t="shared" ref="K45:K51" si="12">ABS(H45-I45)</f>
        <v>0</v>
      </c>
    </row>
    <row r="46" spans="1:11" x14ac:dyDescent="0.3">
      <c r="A46" s="2">
        <v>330</v>
      </c>
      <c r="B46" s="2">
        <v>4.01</v>
      </c>
      <c r="C46" s="2">
        <v>4.01</v>
      </c>
      <c r="D46" s="3">
        <f t="shared" ref="D46:D51" si="13">(B46-C46)/B46</f>
        <v>0</v>
      </c>
      <c r="E46">
        <f t="shared" si="1"/>
        <v>0</v>
      </c>
      <c r="G46" s="2">
        <v>330</v>
      </c>
      <c r="H46" s="2">
        <v>3.96</v>
      </c>
      <c r="I46" s="2">
        <v>3.95</v>
      </c>
      <c r="J46" s="3">
        <f t="shared" ref="J46:J51" si="14">(H46-I46)/H46</f>
        <v>2.5252525252524713E-3</v>
      </c>
      <c r="K46">
        <f t="shared" si="12"/>
        <v>9.9999999999997868E-3</v>
      </c>
    </row>
    <row r="47" spans="1:11" x14ac:dyDescent="0.3">
      <c r="A47" s="2">
        <v>660</v>
      </c>
      <c r="B47" s="2">
        <v>6.27</v>
      </c>
      <c r="C47" s="2">
        <v>6.27</v>
      </c>
      <c r="D47" s="3">
        <f t="shared" si="13"/>
        <v>0</v>
      </c>
      <c r="E47">
        <f t="shared" si="1"/>
        <v>0</v>
      </c>
      <c r="G47" s="2">
        <v>660</v>
      </c>
      <c r="H47" s="2">
        <v>6.23</v>
      </c>
      <c r="I47" s="2">
        <v>6.23</v>
      </c>
      <c r="J47" s="3">
        <f t="shared" si="14"/>
        <v>0</v>
      </c>
      <c r="K47">
        <f t="shared" si="12"/>
        <v>0</v>
      </c>
    </row>
    <row r="48" spans="1:11" x14ac:dyDescent="0.3">
      <c r="A48" s="2" t="s">
        <v>5</v>
      </c>
      <c r="B48" s="2">
        <v>108.2</v>
      </c>
      <c r="C48" s="2">
        <v>108.2</v>
      </c>
      <c r="D48" s="3">
        <f t="shared" si="13"/>
        <v>0</v>
      </c>
      <c r="E48">
        <f t="shared" si="1"/>
        <v>0</v>
      </c>
      <c r="G48" s="2" t="s">
        <v>5</v>
      </c>
      <c r="H48" s="2">
        <v>107.7</v>
      </c>
      <c r="I48" s="2">
        <v>107.7</v>
      </c>
      <c r="J48" s="3">
        <f t="shared" si="14"/>
        <v>0</v>
      </c>
      <c r="K48">
        <f t="shared" si="12"/>
        <v>0</v>
      </c>
    </row>
    <row r="49" spans="1:11" x14ac:dyDescent="0.3">
      <c r="A49" s="2">
        <v>1000</v>
      </c>
      <c r="B49" s="2">
        <v>8.23</v>
      </c>
      <c r="C49" s="2">
        <v>8.24</v>
      </c>
      <c r="D49" s="3">
        <f t="shared" si="13"/>
        <v>-1.2150668286755512E-3</v>
      </c>
      <c r="E49">
        <f t="shared" si="1"/>
        <v>9.9999999999997868E-3</v>
      </c>
      <c r="G49" s="2">
        <v>1000</v>
      </c>
      <c r="H49" s="2">
        <v>8.2100000000000009</v>
      </c>
      <c r="I49" s="2">
        <v>8.1999999999999993</v>
      </c>
      <c r="J49" s="3">
        <f t="shared" si="14"/>
        <v>1.2180267965897153E-3</v>
      </c>
      <c r="K49">
        <f t="shared" si="12"/>
        <v>1.0000000000001563E-2</v>
      </c>
    </row>
    <row r="50" spans="1:11" x14ac:dyDescent="0.3">
      <c r="A50" s="2">
        <v>1320</v>
      </c>
      <c r="B50" s="2">
        <v>9.9</v>
      </c>
      <c r="C50" s="2">
        <v>9.9</v>
      </c>
      <c r="D50" s="3">
        <f t="shared" si="13"/>
        <v>0</v>
      </c>
      <c r="E50">
        <f t="shared" si="1"/>
        <v>0</v>
      </c>
      <c r="G50" s="2">
        <v>1320</v>
      </c>
      <c r="H50" s="2">
        <v>9.9</v>
      </c>
      <c r="I50" s="2">
        <v>9.89</v>
      </c>
      <c r="J50" s="3">
        <f t="shared" si="14"/>
        <v>1.0101010101009886E-3</v>
      </c>
      <c r="K50">
        <f t="shared" si="12"/>
        <v>9.9999999999997868E-3</v>
      </c>
    </row>
    <row r="51" spans="1:11" x14ac:dyDescent="0.3">
      <c r="A51" s="2" t="s">
        <v>6</v>
      </c>
      <c r="B51" s="2">
        <v>135.1</v>
      </c>
      <c r="C51" s="2">
        <v>135.1</v>
      </c>
      <c r="D51" s="3">
        <f t="shared" si="13"/>
        <v>0</v>
      </c>
      <c r="E51">
        <f t="shared" si="1"/>
        <v>0</v>
      </c>
      <c r="G51" s="2" t="s">
        <v>6</v>
      </c>
      <c r="H51" s="2">
        <v>132.80000000000001</v>
      </c>
      <c r="I51" s="2">
        <v>132.80000000000001</v>
      </c>
      <c r="J51" s="3">
        <f t="shared" si="14"/>
        <v>0</v>
      </c>
      <c r="K51">
        <f t="shared" si="12"/>
        <v>0</v>
      </c>
    </row>
    <row r="52" spans="1:11" x14ac:dyDescent="0.3">
      <c r="E52">
        <f t="shared" si="1"/>
        <v>0</v>
      </c>
    </row>
    <row r="53" spans="1:11" x14ac:dyDescent="0.3">
      <c r="A53" t="s">
        <v>12</v>
      </c>
      <c r="E53">
        <f t="shared" si="1"/>
        <v>0</v>
      </c>
    </row>
    <row r="54" spans="1:11" x14ac:dyDescent="0.3">
      <c r="A54" s="2"/>
      <c r="B54" s="2" t="s">
        <v>3</v>
      </c>
      <c r="C54" s="2" t="s">
        <v>4</v>
      </c>
      <c r="D54" s="2" t="s">
        <v>7</v>
      </c>
    </row>
    <row r="55" spans="1:11" x14ac:dyDescent="0.3">
      <c r="A55" s="2">
        <v>60</v>
      </c>
      <c r="B55" s="2">
        <v>0.88</v>
      </c>
      <c r="C55" s="2">
        <v>0.89</v>
      </c>
      <c r="D55" s="3">
        <f>(B55-C55)/B55</f>
        <v>-1.1363636363636374E-2</v>
      </c>
      <c r="E55">
        <f t="shared" si="1"/>
        <v>1.0000000000000009E-2</v>
      </c>
    </row>
    <row r="56" spans="1:11" x14ac:dyDescent="0.3">
      <c r="A56" s="2">
        <v>330</v>
      </c>
      <c r="B56" s="2">
        <v>2.36</v>
      </c>
      <c r="C56" s="2">
        <v>2.37</v>
      </c>
      <c r="D56" s="3">
        <f t="shared" ref="D56:D61" si="15">(B56-C56)/B56</f>
        <v>-4.2372881355933183E-3</v>
      </c>
      <c r="E56">
        <f t="shared" si="1"/>
        <v>1.0000000000000231E-2</v>
      </c>
    </row>
    <row r="57" spans="1:11" x14ac:dyDescent="0.3">
      <c r="A57" s="2">
        <v>660</v>
      </c>
      <c r="B57" s="2">
        <v>3.56</v>
      </c>
      <c r="C57" s="2">
        <v>3.57</v>
      </c>
      <c r="D57" s="3">
        <f t="shared" si="15"/>
        <v>-2.8089887640448839E-3</v>
      </c>
      <c r="E57">
        <f t="shared" si="1"/>
        <v>9.9999999999997868E-3</v>
      </c>
    </row>
    <row r="58" spans="1:11" x14ac:dyDescent="0.3">
      <c r="A58" s="2" t="s">
        <v>5</v>
      </c>
      <c r="B58" s="2">
        <v>205.3</v>
      </c>
      <c r="C58" s="2">
        <v>205.1</v>
      </c>
      <c r="D58" s="3">
        <f t="shared" si="15"/>
        <v>9.7418412079891396E-4</v>
      </c>
      <c r="E58">
        <f t="shared" si="1"/>
        <v>0.20000000000001705</v>
      </c>
    </row>
    <row r="59" spans="1:11" x14ac:dyDescent="0.3">
      <c r="A59" s="2">
        <v>1000</v>
      </c>
      <c r="B59" s="2">
        <v>4.6100000000000003</v>
      </c>
      <c r="C59" s="2">
        <v>4.6100000000000003</v>
      </c>
      <c r="D59" s="3">
        <f t="shared" si="15"/>
        <v>0</v>
      </c>
      <c r="E59">
        <f t="shared" si="1"/>
        <v>0</v>
      </c>
    </row>
    <row r="60" spans="1:11" x14ac:dyDescent="0.3">
      <c r="A60" s="2">
        <v>1320</v>
      </c>
      <c r="B60" s="2">
        <v>5.52</v>
      </c>
      <c r="C60" s="2">
        <v>5.53</v>
      </c>
      <c r="D60" s="3">
        <f t="shared" si="15"/>
        <v>-1.811594202898673E-3</v>
      </c>
      <c r="E60">
        <f t="shared" si="1"/>
        <v>1.0000000000000675E-2</v>
      </c>
    </row>
    <row r="61" spans="1:11" x14ac:dyDescent="0.3">
      <c r="A61" s="2" t="s">
        <v>6</v>
      </c>
      <c r="B61" s="2">
        <v>243.1</v>
      </c>
      <c r="C61" s="2">
        <v>242.9</v>
      </c>
      <c r="D61" s="3">
        <f t="shared" si="15"/>
        <v>8.2270670505959944E-4</v>
      </c>
      <c r="E61">
        <f t="shared" si="1"/>
        <v>0.19999999999998863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Clinton Snead</dc:creator>
  <cp:lastModifiedBy>Clinton Snead</cp:lastModifiedBy>
  <dcterms:created xsi:type="dcterms:W3CDTF">2025-12-20T14:17:32Z</dcterms:created>
  <dcterms:modified xsi:type="dcterms:W3CDTF">2025-12-24T03:45:27Z</dcterms:modified>
</cp:coreProperties>
</file>